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 Inicial - Propuesta" sheetId="1" state="visible" r:id="rId1"/>
    <sheet xmlns:r="http://schemas.openxmlformats.org/officeDocument/2006/relationships" name="Modelo de Inversión" sheetId="2" state="visible" r:id="rId2"/>
    <sheet xmlns:r="http://schemas.openxmlformats.org/officeDocument/2006/relationships" name="Benchmarks de Referencia" sheetId="3" state="visible" r:id="rId3"/>
  </sheets>
  <definedNames>
    <definedName name="_xlnm.Print_Area" localSheetId="0">'Mes Inicial - Propuesta'!$A$1:$L$23</definedName>
    <definedName name="_xlnm.Print_Area" localSheetId="1">'Modelo de Inversión'!$A$1:$C$28</definedName>
    <definedName name="_xlnm.Print_Area" localSheetId="2">'Benchmarks de Referencia'!$A$1:$E$26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FFFFFFFF"/>
      <sz val="12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Calibri"/>
      <b val="1"/>
      <sz val="14"/>
    </font>
    <font>
      <name val="Calibri"/>
      <i val="1"/>
      <color rgb="FF595959"/>
      <sz val="10"/>
    </font>
    <font>
      <name val="Calibri"/>
      <b val="1"/>
      <sz val="11"/>
    </font>
    <font>
      <name val="Calibri"/>
      <color rgb="FF595959"/>
      <sz val="10"/>
    </font>
    <font>
      <name val="Calibri"/>
      <b val="1"/>
      <color rgb="FF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000000"/>
      </patternFill>
    </fill>
    <fill>
      <patternFill patternType="solid">
        <fgColor rgb="FF999999"/>
      </patternFill>
    </fill>
    <fill>
      <patternFill patternType="solid">
        <fgColor rgb="FF3A3838"/>
      </patternFill>
    </fill>
    <fill>
      <patternFill patternType="solid">
        <fgColor rgb="FFF2F2F2"/>
      </patternFill>
    </fill>
    <fill>
      <patternFill patternType="solid">
        <fgColor rgb="FFFDE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/>
    </xf>
    <xf numFmtId="0" fontId="9" fillId="0" borderId="0" pivotButton="0" quotePrefix="0" xfId="0"/>
    <xf numFmtId="3" fontId="9" fillId="7" borderId="1" applyAlignment="1" pivotButton="0" quotePrefix="0" xfId="0">
      <alignment horizontal="center"/>
    </xf>
    <xf numFmtId="0" fontId="10" fillId="0" borderId="0" pivotButton="0" quotePrefix="0" xfId="0"/>
    <xf numFmtId="164" fontId="9" fillId="7" borderId="1" applyAlignment="1" pivotButton="0" quotePrefix="0" xfId="0">
      <alignment horizontal="center"/>
    </xf>
    <xf numFmtId="3" fontId="11" fillId="5" borderId="1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  <xf numFmtId="0" fontId="11" fillId="5" borderId="1" applyAlignment="1" pivotButton="0" quotePrefix="0" xfId="0">
      <alignment horizont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40" customWidth="1" min="4" max="4"/>
    <col width="13" customWidth="1" min="5" max="5"/>
    <col width="14" customWidth="1" min="6" max="6"/>
    <col width="30" customWidth="1" min="7" max="7"/>
    <col width="15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D1" s="1" t="inlineStr">
        <is>
          <t>AGENCIA</t>
        </is>
      </c>
      <c r="E1" s="2" t="inlineStr">
        <is>
          <t>Intothecom</t>
        </is>
      </c>
    </row>
    <row r="2">
      <c r="D2" s="1" t="inlineStr">
        <is>
          <t>CLIENTE</t>
        </is>
      </c>
      <c r="E2" s="2" t="inlineStr">
        <is>
          <t>Dale Coopeuch</t>
        </is>
      </c>
    </row>
    <row r="3">
      <c r="D3" s="1" t="inlineStr">
        <is>
          <t>ASUNTO</t>
        </is>
      </c>
      <c r="E3" s="2" t="inlineStr">
        <is>
          <t>Propuesta Plan de Medios</t>
        </is>
      </c>
    </row>
    <row r="4">
      <c r="D4" s="1" t="inlineStr">
        <is>
          <t>PERIODO</t>
        </is>
      </c>
      <c r="E4" s="2" t="inlineStr">
        <is>
          <t>Mes Inicial</t>
        </is>
      </c>
    </row>
    <row r="7" ht="22" customHeight="1">
      <c r="A7" s="3" t="inlineStr">
        <is>
          <t>Plan de medios</t>
        </is>
      </c>
    </row>
    <row r="8" ht="32" customHeight="1">
      <c r="A8" s="4" t="inlineStr">
        <is>
          <t>Canal</t>
        </is>
      </c>
      <c r="B8" s="4" t="inlineStr">
        <is>
          <t>Tipo de campaña</t>
        </is>
      </c>
      <c r="C8" s="4" t="inlineStr">
        <is>
          <t>Campaña</t>
        </is>
      </c>
      <c r="D8" s="4" t="inlineStr">
        <is>
          <t>Anuncio</t>
        </is>
      </c>
      <c r="E8" s="4" t="inlineStr">
        <is>
          <t>Fecha Inicio</t>
        </is>
      </c>
      <c r="F8" s="4" t="inlineStr">
        <is>
          <t>Fecha Fin</t>
        </is>
      </c>
      <c r="G8" s="4" t="inlineStr">
        <is>
          <t>Segmento</t>
        </is>
      </c>
      <c r="H8" s="4" t="inlineStr">
        <is>
          <t>Formato</t>
        </is>
      </c>
      <c r="I8" s="4" t="inlineStr">
        <is>
          <t>Medidas del Contenido</t>
        </is>
      </c>
      <c r="J8" s="4" t="inlineStr">
        <is>
          <t>Ubicación</t>
        </is>
      </c>
      <c r="K8" s="4" t="inlineStr">
        <is>
          <t>Objetivo</t>
        </is>
      </c>
      <c r="L8" s="5" t="inlineStr">
        <is>
          <t>Inversión mensual</t>
        </is>
      </c>
    </row>
    <row r="9" ht="92" customHeight="1">
      <c r="A9" s="6" t="inlineStr">
        <is>
          <t>Google Ads</t>
        </is>
      </c>
      <c r="B9" s="6" t="inlineStr">
        <is>
          <t>Search | Marca</t>
        </is>
      </c>
      <c r="C9" s="7" t="inlineStr">
        <is>
          <t>Cobertura de búsquedas de marca para proteger el término propio y capturar la demanda ya generada, con objetivo de conversión principal "conversación calificada".</t>
        </is>
      </c>
      <c r="D9" s="7" t="inlineStr">
        <is>
          <t>Anuncios de búsqueda sobre términos de marca que dirigen a la landing de Crédito Digital con CTA directo a WhatsApp.</t>
        </is>
      </c>
      <c r="E9" s="7" t="inlineStr">
        <is>
          <t>Por Definir</t>
        </is>
      </c>
      <c r="F9" s="7" t="inlineStr">
        <is>
          <t>Always on
Sin término</t>
        </is>
      </c>
      <c r="G9" s="7" t="inlineStr">
        <is>
          <t>Búsquedas de marca y variantes. Sin señales de audiencia adicionales.</t>
        </is>
      </c>
      <c r="H9" s="7" t="inlineStr">
        <is>
          <t>Texto</t>
        </is>
      </c>
      <c r="I9" s="7" t="inlineStr">
        <is>
          <t>Títulos 30 car.
Descripciones 90 car.</t>
        </is>
      </c>
      <c r="J9" s="7" t="inlineStr">
        <is>
          <t>SERP</t>
        </is>
      </c>
      <c r="K9" s="7" t="inlineStr">
        <is>
          <t>Conversación calificada</t>
        </is>
      </c>
      <c r="L9" s="7" t="inlineStr">
        <is>
          <t>$200.000 - $300.000</t>
        </is>
      </c>
    </row>
    <row r="10" ht="92" customHeight="1">
      <c r="A10" s="6" t="inlineStr">
        <is>
          <t>Google Ads</t>
        </is>
      </c>
      <c r="B10" s="6" t="inlineStr">
        <is>
          <t>Search | Genérica Crédito de Consumo</t>
        </is>
      </c>
      <c r="C10" s="7" t="inlineStr">
        <is>
          <t>Captura de demanda de alta intención sobre crédito de consumo digital, priorizando términos con intención de contratación por sobre términos informacionales.</t>
        </is>
      </c>
      <c r="D10" s="7" t="inlineStr">
        <is>
          <t>Anuncios de búsqueda enfocados en el diferencial de proceso 100% digital sin trámites presenciales, derivando a conversación asistida.</t>
        </is>
      </c>
      <c r="E10" s="7" t="inlineStr">
        <is>
          <t>Por Definir</t>
        </is>
      </c>
      <c r="F10" s="7" t="inlineStr">
        <is>
          <t>Always on
Sin término</t>
        </is>
      </c>
      <c r="G10" s="7" t="inlineStr">
        <is>
          <t>Señales de audiencia por intención de compra en servicios financieros.</t>
        </is>
      </c>
      <c r="H10" s="7" t="inlineStr">
        <is>
          <t>Texto</t>
        </is>
      </c>
      <c r="I10" s="7" t="inlineStr">
        <is>
          <t>Títulos 30 car.
Descripciones 90 car.</t>
        </is>
      </c>
      <c r="J10" s="7" t="inlineStr">
        <is>
          <t>SERP</t>
        </is>
      </c>
      <c r="K10" s="7" t="inlineStr">
        <is>
          <t>Conversación calificada</t>
        </is>
      </c>
      <c r="L10" s="7" t="inlineStr">
        <is>
          <t>$650.000 - $1.100.000</t>
        </is>
      </c>
    </row>
    <row r="11" ht="92" customHeight="1">
      <c r="A11" s="6" t="inlineStr">
        <is>
          <t>Google Ads</t>
        </is>
      </c>
      <c r="B11" s="6" t="inlineStr">
        <is>
          <t>Search | Nicho Inclusión Financiera</t>
        </is>
      </c>
      <c r="C11" s="7" t="inlineStr">
        <is>
          <t>Cobertura del nicho desatendido de trabajadores independientes y personas sin liquidación de sueldo, apalancando la evaluación con múltiples fuentes de ingreso como diferenciador.</t>
        </is>
      </c>
      <c r="D11" s="7" t="inlineStr">
        <is>
          <t>Anuncios de búsqueda dirigidos a independientes, honorarios y trabajadores informales, comunicando la evaluación inteligente e inclusiva.</t>
        </is>
      </c>
      <c r="E11" s="7" t="inlineStr">
        <is>
          <t>Por Definir</t>
        </is>
      </c>
      <c r="F11" s="7" t="inlineStr">
        <is>
          <t>Always on
Sin término</t>
        </is>
      </c>
      <c r="G11" s="7" t="inlineStr">
        <is>
          <t>Términos de nicho. Exclusión de términos de crédito hipotecario y automotriz.</t>
        </is>
      </c>
      <c r="H11" s="7" t="inlineStr">
        <is>
          <t>Texto</t>
        </is>
      </c>
      <c r="I11" s="7" t="inlineStr">
        <is>
          <t>Títulos 30 car.
Descripciones 90 car.</t>
        </is>
      </c>
      <c r="J11" s="7" t="inlineStr">
        <is>
          <t>SERP</t>
        </is>
      </c>
      <c r="K11" s="7" t="inlineStr">
        <is>
          <t>Conversación calificada</t>
        </is>
      </c>
      <c r="L11" s="7" t="inlineStr">
        <is>
          <t>$350.000 - $600.000</t>
        </is>
      </c>
    </row>
    <row r="12" ht="92" customHeight="1">
      <c r="A12" s="6" t="inlineStr">
        <is>
          <t>Meta Ads</t>
        </is>
      </c>
      <c r="B12" s="6" t="inlineStr">
        <is>
          <t>CTWA | Prospección Broad</t>
        </is>
      </c>
      <c r="C12" s="7" t="inlineStr">
        <is>
          <t>Prospección de mercado abierto con campañas Click to WhatsApp, donde el agente IA levanta información, califica y deriva al prospecto. Segmentación amplia según recomendación vigente de la plataforma.</t>
        </is>
      </c>
      <c r="D12" s="7" t="inlineStr">
        <is>
          <t>Piezas gráficas y video que comunican el crédito 100% digital, con CTA de inicio de conversación por WhatsApp.</t>
        </is>
      </c>
      <c r="E12" s="7" t="inlineStr">
        <is>
          <t>Por Definir</t>
        </is>
      </c>
      <c r="F12" s="7" t="inlineStr">
        <is>
          <t>Always on
Sin término</t>
        </is>
      </c>
      <c r="G12" s="7" t="inlineStr">
        <is>
          <t>Broad con Advantage+ Audience. Restricción obligatoria 18+.</t>
        </is>
      </c>
      <c r="H12" s="7" t="inlineStr">
        <is>
          <t>Imagen - Video</t>
        </is>
      </c>
      <c r="I12" s="7" t="inlineStr">
        <is>
          <t>Imagen 1:1
Imagen 4:5
Video 9:16
Video 1:1</t>
        </is>
      </c>
      <c r="J12" s="7" t="inlineStr">
        <is>
          <t>Feed | Stories | Reels</t>
        </is>
      </c>
      <c r="K12" s="7" t="inlineStr">
        <is>
          <t>Conversación calificada</t>
        </is>
      </c>
      <c r="L12" s="7" t="inlineStr">
        <is>
          <t>$850.000 - $1.400.000</t>
        </is>
      </c>
    </row>
    <row r="13" ht="92" customHeight="1">
      <c r="A13" s="6" t="inlineStr">
        <is>
          <t>Meta Ads</t>
        </is>
      </c>
      <c r="B13" s="6" t="inlineStr">
        <is>
          <t>CTWA | Ángulo Inclusión</t>
        </is>
      </c>
      <c r="C13" s="7" t="inlineStr">
        <is>
          <t>Campaña dedicada al ángulo de inclusión financiera para independientes, testeando el diferenciador de evaluación con múltiples fuentes de ingreso contra el mensaje genérico.</t>
        </is>
      </c>
      <c r="D13" s="7" t="inlineStr">
        <is>
          <t>Piezas centradas en el perfil independiente, con testimonios y explicación del proceso de evaluación.</t>
        </is>
      </c>
      <c r="E13" s="7" t="inlineStr">
        <is>
          <t>Por Definir</t>
        </is>
      </c>
      <c r="F13" s="7" t="inlineStr">
        <is>
          <t>Always on
Sin término</t>
        </is>
      </c>
      <c r="G13" s="7" t="inlineStr">
        <is>
          <t>Broad con señales de intereses de emprendimiento y trabajo independiente.</t>
        </is>
      </c>
      <c r="H13" s="7" t="inlineStr">
        <is>
          <t>Imagen - Video</t>
        </is>
      </c>
      <c r="I13" s="7" t="inlineStr">
        <is>
          <t>Imagen 1:1
Imagen 4:5
Video 9:16
Video 1:1</t>
        </is>
      </c>
      <c r="J13" s="7" t="inlineStr">
        <is>
          <t>Feed | Stories | Reels</t>
        </is>
      </c>
      <c r="K13" s="7" t="inlineStr">
        <is>
          <t>Conversación calificada</t>
        </is>
      </c>
      <c r="L13" s="7" t="inlineStr">
        <is>
          <t>$600.000 - $1.000.000</t>
        </is>
      </c>
    </row>
    <row r="14" ht="92" customHeight="1">
      <c r="A14" s="6" t="inlineStr">
        <is>
          <t>Meta Ads</t>
        </is>
      </c>
      <c r="B14" s="6" t="inlineStr">
        <is>
          <t>Retargeting | Recuperación</t>
        </is>
      </c>
      <c r="C14" s="7" t="inlineStr">
        <is>
          <t>Recuperación de usuarios que interactuaron con los anuncios o iniciaron conversación sin completar la calificación, complementando los flujos automatizados de WhatsApp y email.</t>
        </is>
      </c>
      <c r="D14" s="7" t="inlineStr">
        <is>
          <t>Piezas de recordatorio y resolución de objeciones frecuentes del proceso de solicitud.</t>
        </is>
      </c>
      <c r="E14" s="7" t="inlineStr">
        <is>
          <t>Por Definir</t>
        </is>
      </c>
      <c r="F14" s="7" t="inlineStr">
        <is>
          <t>Always on
Sin término</t>
        </is>
      </c>
      <c r="G14" s="7" t="inlineStr">
        <is>
          <t>Audiencias personalizadas de interacción con anuncios y con la cuenta de WhatsApp.</t>
        </is>
      </c>
      <c r="H14" s="7" t="inlineStr">
        <is>
          <t>Imagen - Video</t>
        </is>
      </c>
      <c r="I14" s="7" t="inlineStr">
        <is>
          <t>Imagen 1:1
Imagen 4:5
Video 9:16</t>
        </is>
      </c>
      <c r="J14" s="7" t="inlineStr">
        <is>
          <t>Feed | Stories | Reels</t>
        </is>
      </c>
      <c r="K14" s="7" t="inlineStr">
        <is>
          <t>Conversación calificada</t>
        </is>
      </c>
      <c r="L14" s="7" t="inlineStr">
        <is>
          <t>$350.000 - $600.000</t>
        </is>
      </c>
    </row>
    <row r="15">
      <c r="K15" s="8" t="inlineStr">
        <is>
          <t>Total Inversión</t>
        </is>
      </c>
      <c r="L15" s="9" t="inlineStr">
        <is>
          <t>$3.000.000 - $5.000.000</t>
        </is>
      </c>
    </row>
    <row r="17">
      <c r="A17" s="10" t="inlineStr">
        <is>
          <t>Consideraciones</t>
        </is>
      </c>
    </row>
    <row r="18">
      <c r="A18" s="11" t="inlineStr">
        <is>
          <t>*La distribución de inversión por plataforma puede variar según el rendimiento observado durante el transcurso de las campañas.</t>
        </is>
      </c>
    </row>
    <row r="19">
      <c r="A19" s="11" t="inlineStr">
        <is>
          <t>*Los montos indicados son una recomendación de la agencia. La inversión puede ajustarse según el presupuesto definido por la marca.</t>
        </is>
      </c>
    </row>
    <row r="20">
      <c r="A20" s="11" t="inlineStr">
        <is>
          <t>*El presupuesto de inversión en campañas es aparte del valor del servicio de agencia y se paga directamente a cada plataforma.</t>
        </is>
      </c>
    </row>
    <row r="21">
      <c r="A21" s="11" t="inlineStr">
        <is>
          <t>*Estimación de resultados sujeta a las métricas reales que se observen al implementar. Ver hoja "Modelo de Inversión".</t>
        </is>
      </c>
    </row>
    <row r="22">
      <c r="A22" s="11" t="inlineStr">
        <is>
          <t>*Requisito previo al lanzamiento en Google Ads: publicar en la landing pública los plazos mínimo y máximo de pago, la CAE máxima y un ejemplo representativo del costo total del crédito.</t>
        </is>
      </c>
    </row>
    <row r="23">
      <c r="A23" s="11" t="inlineStr">
        <is>
          <t>*Las campañas de crédito exigen segmentación 18+ y pueden requerir verificación del anunciante con acreditación regulatoria.</t>
        </is>
      </c>
    </row>
  </sheetData>
  <mergeCells count="9">
    <mergeCell ref="A20:L20"/>
    <mergeCell ref="A7:L7"/>
    <mergeCell ref="A19:L19"/>
    <mergeCell ref="A23:L23"/>
    <mergeCell ref="B1:C4"/>
    <mergeCell ref="A22:L22"/>
    <mergeCell ref="A18:L18"/>
    <mergeCell ref="A21:L21"/>
    <mergeCell ref="A17:H17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2" customWidth="1" min="3" max="3"/>
    <col width="12" customWidth="1" min="4" max="4"/>
    <col width="12" customWidth="1" min="5" max="5"/>
    <col width="12" customWidth="1" min="6" max="6"/>
  </cols>
  <sheetData>
    <row r="1">
      <c r="A1" s="12" t="inlineStr">
        <is>
          <t>Modelo de estimación de inversión — Dale Coopeuch</t>
        </is>
      </c>
    </row>
    <row r="2">
      <c r="A2" s="13" t="inlineStr">
        <is>
          <t>Modelo editable. Las celdas naranjas son supuestos: al modificarlas se recalcula todo. Se reemplazan por métricas reales una vez implementadas las campañas.</t>
        </is>
      </c>
    </row>
    <row r="4" ht="22" customHeight="1">
      <c r="A4" s="3" t="inlineStr">
        <is>
          <t>SUPUESTOS EDITABLES</t>
        </is>
      </c>
    </row>
    <row r="5">
      <c r="A5" s="14" t="inlineStr">
        <is>
          <t>CPC Google Search (CLP)</t>
        </is>
      </c>
      <c r="B5" s="15" t="n">
        <v>2800</v>
      </c>
      <c r="C5" s="16" t="inlineStr">
        <is>
          <t>Banda triangulada $2.400 - $3.200. Ver hoja Benchmarks.</t>
        </is>
      </c>
    </row>
    <row r="6">
      <c r="A6" s="14" t="inlineStr">
        <is>
          <t>CPC Meta CTWA (CLP)</t>
        </is>
      </c>
      <c r="B6" s="15" t="n">
        <v>850</v>
      </c>
      <c r="C6" s="16" t="inlineStr">
        <is>
          <t>Derivado del benchmark de tráfico convertido. Supuesto más débil: validar.</t>
        </is>
      </c>
    </row>
    <row r="7">
      <c r="A7" s="14" t="inlineStr">
        <is>
          <t>Clic → conversación iniciada (Google)</t>
        </is>
      </c>
      <c r="B7" s="17" t="n">
        <v>0.12</v>
      </c>
      <c r="C7" s="16" t="inlineStr">
        <is>
          <t>Landing con CTA directo a WhatsApp.</t>
        </is>
      </c>
    </row>
    <row r="8">
      <c r="A8" s="14" t="inlineStr">
        <is>
          <t>Clic → conversación iniciada (Meta CTWA)</t>
        </is>
      </c>
      <c r="B8" s="17" t="n">
        <v>0.25</v>
      </c>
      <c r="C8" s="16" t="inlineStr">
        <is>
          <t>El clic abre WhatsApp directamente.</t>
        </is>
      </c>
    </row>
    <row r="9">
      <c r="A9" s="14" t="inlineStr">
        <is>
          <t>Conversación → lead calificado (IA)</t>
        </is>
      </c>
      <c r="B9" s="17" t="n">
        <v>0.35</v>
      </c>
      <c r="C9" s="16" t="inlineStr">
        <is>
          <t>Calificación por el agente IA antes de derivar.</t>
        </is>
      </c>
    </row>
    <row r="10">
      <c r="A10" s="14" t="inlineStr">
        <is>
          <t>Lead calificado → curse</t>
        </is>
      </c>
      <c r="B10" s="17" t="n">
        <v>0.2</v>
      </c>
      <c r="C10" s="16" t="inlineStr">
        <is>
          <t>DEPENDE DE LA POLÍTICA DE RIESGO DEL CLIENTE. A definir.</t>
        </is>
      </c>
    </row>
    <row r="11">
      <c r="A11" s="14" t="inlineStr">
        <is>
          <t>Inversión mensual total (CLP)</t>
        </is>
      </c>
      <c r="B11" s="15" t="n">
        <v>3500000</v>
      </c>
      <c r="C11" s="16" t="inlineStr">
        <is>
          <t>Escenario medio de la banda propuesta.</t>
        </is>
      </c>
    </row>
    <row r="12">
      <c r="A12" s="14" t="inlineStr">
        <is>
          <t>Participación Google</t>
        </is>
      </c>
      <c r="B12" s="17" t="n">
        <v>0.4</v>
      </c>
      <c r="C12" s="16" t="inlineStr">
        <is>
          <t>El 60% restante se asigna a Meta.</t>
        </is>
      </c>
    </row>
    <row r="14" ht="22" customHeight="1">
      <c r="A14" s="3" t="inlineStr">
        <is>
          <t>RESULTADO PROYECTADO</t>
        </is>
      </c>
    </row>
    <row r="15">
      <c r="A15" s="14" t="inlineStr">
        <is>
          <t>Inversión Google (CLP)</t>
        </is>
      </c>
      <c r="B15" s="18">
        <f>B11*B12</f>
        <v/>
      </c>
    </row>
    <row r="16">
      <c r="A16" s="14" t="inlineStr">
        <is>
          <t>Inversión Meta (CLP)</t>
        </is>
      </c>
      <c r="B16" s="18">
        <f>B11*(1-B12)</f>
        <v/>
      </c>
    </row>
    <row r="17">
      <c r="A17" s="14" t="inlineStr">
        <is>
          <t>Clics Google</t>
        </is>
      </c>
      <c r="B17" s="18">
        <f>B15/B5</f>
        <v/>
      </c>
    </row>
    <row r="18">
      <c r="A18" s="14" t="inlineStr">
        <is>
          <t>Clics Meta</t>
        </is>
      </c>
      <c r="B18" s="18">
        <f>B16/B6</f>
        <v/>
      </c>
    </row>
    <row r="19">
      <c r="A19" s="14" t="inlineStr">
        <is>
          <t>Conversaciones iniciadas</t>
        </is>
      </c>
      <c r="B19" s="18">
        <f>B17*B7+B18*B8</f>
        <v/>
      </c>
    </row>
    <row r="20">
      <c r="A20" s="14" t="inlineStr">
        <is>
          <t>Leads calificados</t>
        </is>
      </c>
      <c r="B20" s="18">
        <f>B19*B9</f>
        <v/>
      </c>
    </row>
    <row r="21">
      <c r="A21" s="14" t="inlineStr">
        <is>
          <t>Costo por lead calificado (CLP)</t>
        </is>
      </c>
      <c r="B21" s="18">
        <f>B11/B20</f>
        <v/>
      </c>
    </row>
    <row r="22">
      <c r="A22" s="14" t="inlineStr">
        <is>
          <t>Cursos estimados</t>
        </is>
      </c>
      <c r="B22" s="18">
        <f>B20*B10</f>
        <v/>
      </c>
    </row>
    <row r="23">
      <c r="A23" s="14" t="inlineStr">
        <is>
          <t>Costo por curse (CLP)</t>
        </is>
      </c>
      <c r="B23" s="18">
        <f>B11/B22</f>
        <v/>
      </c>
    </row>
    <row r="25" ht="26" customHeight="1">
      <c r="A25" s="19" t="inlineStr">
        <is>
          <t>Nota metodológica: el modelo se construye de abajo hacia arriba a partir de benchmarks públicos de la industria financiera, no de un promedio de inversión de mercado — esa cifra no existe de forma pública y confiable a nivel de anunciante individual. La tasa de aprobación a curse es la única variable que no puede estimarse desde fuentes externas: depende de la política de riesgo de Coopeuch y debe ser aportada por el cliente.</t>
        </is>
      </c>
    </row>
    <row r="26" ht="26" customHeight="1"/>
    <row r="27" ht="26" customHeight="1"/>
    <row r="28" ht="26" customHeight="1"/>
  </sheetData>
  <mergeCells count="4">
    <mergeCell ref="A14:F14"/>
    <mergeCell ref="A25:C28"/>
    <mergeCell ref="A2:C2"/>
    <mergeCell ref="A4:F4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40" customWidth="1" min="4" max="4"/>
    <col width="14" customWidth="1" min="5" max="5"/>
  </cols>
  <sheetData>
    <row r="1">
      <c r="A1" s="12" t="inlineStr">
        <is>
          <t>Benchmarks de referencia — industria financiera</t>
        </is>
      </c>
    </row>
    <row r="3">
      <c r="A3" s="20" t="inlineStr">
        <is>
          <t>Métrica</t>
        </is>
      </c>
      <c r="B3" s="20" t="inlineStr">
        <is>
          <t>Valor</t>
        </is>
      </c>
      <c r="C3" s="20" t="inlineStr">
        <is>
          <t>Alcance</t>
        </is>
      </c>
      <c r="D3" s="20" t="inlineStr">
        <is>
          <t>Fuente</t>
        </is>
      </c>
      <c r="E3" s="20" t="inlineStr">
        <is>
          <t>Fecha</t>
        </is>
      </c>
    </row>
    <row r="4">
      <c r="A4" s="21" t="inlineStr">
        <is>
          <t>CPC Search finanzas y seguros</t>
        </is>
      </c>
      <c r="B4" s="22" t="inlineStr">
        <is>
          <t>USD 3,46</t>
        </is>
      </c>
      <c r="C4" s="22" t="inlineStr">
        <is>
          <t>EE.UU.</t>
        </is>
      </c>
      <c r="D4" s="22" t="inlineStr">
        <is>
          <t>WordStream Google Ads Benchmarks</t>
        </is>
      </c>
      <c r="E4" s="22" t="inlineStr">
        <is>
          <t>2026</t>
        </is>
      </c>
    </row>
    <row r="5">
      <c r="A5" s="21" t="inlineStr">
        <is>
          <t>CPC Search finanzas y banca</t>
        </is>
      </c>
      <c r="B5" s="22" t="inlineStr">
        <is>
          <t>USD 3,08</t>
        </is>
      </c>
      <c r="C5" s="22" t="inlineStr">
        <is>
          <t>Global</t>
        </is>
      </c>
      <c r="D5" s="22" t="inlineStr">
        <is>
          <t>Digital Applied / WordStream Q1</t>
        </is>
      </c>
      <c r="E5" s="22" t="inlineStr">
        <is>
          <t>2026</t>
        </is>
      </c>
    </row>
    <row r="6">
      <c r="A6" s="21" t="inlineStr">
        <is>
          <t>CTR Search finanzas y seguros</t>
        </is>
      </c>
      <c r="B6" s="22" t="inlineStr">
        <is>
          <t>8,3%</t>
        </is>
      </c>
      <c r="C6" s="22" t="inlineStr">
        <is>
          <t>EE.UU.</t>
        </is>
      </c>
      <c r="D6" s="22" t="inlineStr">
        <is>
          <t>WordStream Google Ads Benchmarks</t>
        </is>
      </c>
      <c r="E6" s="22" t="inlineStr">
        <is>
          <t>2026</t>
        </is>
      </c>
    </row>
    <row r="7">
      <c r="A7" s="21" t="inlineStr">
        <is>
          <t>Tasa de conversión Search finanzas</t>
        </is>
      </c>
      <c r="B7" s="22" t="inlineStr">
        <is>
          <t>2,5% - 4,72%</t>
        </is>
      </c>
      <c r="C7" s="22" t="inlineStr">
        <is>
          <t>EE.UU. / Global</t>
        </is>
      </c>
      <c r="D7" s="22" t="inlineStr">
        <is>
          <t>WordStream / Digital Applied</t>
        </is>
      </c>
      <c r="E7" s="22" t="inlineStr">
        <is>
          <t>2026</t>
        </is>
      </c>
    </row>
    <row r="8">
      <c r="A8" s="21" t="inlineStr">
        <is>
          <t>CPC servicios financieros</t>
        </is>
      </c>
      <c r="B8" s="22" t="inlineStr">
        <is>
          <t>$1.500 - $5.000 CLP</t>
        </is>
      </c>
      <c r="C8" s="22" t="inlineStr">
        <is>
          <t>Chile</t>
        </is>
      </c>
      <c r="D8" s="22" t="inlineStr">
        <is>
          <t>Reportes de agencias locales</t>
        </is>
      </c>
      <c r="E8" s="22" t="inlineStr">
        <is>
          <t>2026</t>
        </is>
      </c>
    </row>
    <row r="9">
      <c r="A9" s="21" t="inlineStr">
        <is>
          <t>CPC financiamiento y seguros</t>
        </is>
      </c>
      <c r="B9" s="22" t="inlineStr">
        <is>
          <t>$2.000 - $3.000 CLP</t>
        </is>
      </c>
      <c r="C9" s="22" t="inlineStr">
        <is>
          <t>Chile</t>
        </is>
      </c>
      <c r="D9" s="22" t="inlineStr">
        <is>
          <t>Reportes de agencias locales</t>
        </is>
      </c>
      <c r="E9" s="22" t="inlineStr">
        <is>
          <t>2026</t>
        </is>
      </c>
    </row>
    <row r="10">
      <c r="A10" s="21" t="inlineStr">
        <is>
          <t>CPC Meta finanzas (conversión)</t>
        </is>
      </c>
      <c r="B10" s="22" t="inlineStr">
        <is>
          <t>USD 3,77</t>
        </is>
      </c>
      <c r="C10" s="22" t="inlineStr">
        <is>
          <t>EE.UU.</t>
        </is>
      </c>
      <c r="D10" s="22" t="inlineStr">
        <is>
          <t>Benchmarks Meta Ads por industria</t>
        </is>
      </c>
      <c r="E10" s="22" t="inlineStr">
        <is>
          <t>2026</t>
        </is>
      </c>
    </row>
    <row r="11">
      <c r="A11" s="21" t="inlineStr">
        <is>
          <t>CPC Meta finanzas (tráfico)</t>
        </is>
      </c>
      <c r="B11" s="22" t="inlineStr">
        <is>
          <t>USD 1,22</t>
        </is>
      </c>
      <c r="C11" s="22" t="inlineStr">
        <is>
          <t>EE.UU.</t>
        </is>
      </c>
      <c r="D11" s="22" t="inlineStr">
        <is>
          <t>Benchmarks Meta Ads por industria</t>
        </is>
      </c>
      <c r="E11" s="22" t="inlineStr">
        <is>
          <t>2026</t>
        </is>
      </c>
    </row>
    <row r="12">
      <c r="A12" s="21" t="inlineStr">
        <is>
          <t>Click rate email finanzas y banca</t>
        </is>
      </c>
      <c r="B12" s="22" t="inlineStr">
        <is>
          <t>3,4%</t>
        </is>
      </c>
      <c r="C12" s="22" t="inlineStr">
        <is>
          <t>Global</t>
        </is>
      </c>
      <c r="D12" s="22" t="inlineStr">
        <is>
          <t>Benchmarks email por industria</t>
        </is>
      </c>
      <c r="E12" s="22" t="inlineStr">
        <is>
          <t>2026</t>
        </is>
      </c>
    </row>
    <row r="13">
      <c r="A13" s="21" t="inlineStr">
        <is>
          <t>Click rate flujos vs campañas</t>
        </is>
      </c>
      <c r="B13" s="22" t="inlineStr">
        <is>
          <t>5,58% vs 1,69%</t>
        </is>
      </c>
      <c r="C13" s="22" t="inlineStr">
        <is>
          <t>Global</t>
        </is>
      </c>
      <c r="D13" s="22" t="inlineStr">
        <is>
          <t>Klaviyo (183.000 cuentas)</t>
        </is>
      </c>
      <c r="E13" s="22" t="inlineStr">
        <is>
          <t>2026</t>
        </is>
      </c>
    </row>
    <row r="14">
      <c r="A14" s="21" t="inlineStr">
        <is>
          <t>Ingreso de flujos sobre total email</t>
        </is>
      </c>
      <c r="B14" s="22" t="inlineStr">
        <is>
          <t>41% con 5,3% de envíos</t>
        </is>
      </c>
      <c r="C14" s="22" t="inlineStr">
        <is>
          <t>Global</t>
        </is>
      </c>
      <c r="D14" s="22" t="inlineStr">
        <is>
          <t>Klaviyo (183.000 cuentas)</t>
        </is>
      </c>
      <c r="E14" s="22" t="inlineStr">
        <is>
          <t>2026</t>
        </is>
      </c>
    </row>
    <row r="15">
      <c r="A15" s="21" t="inlineStr">
        <is>
          <t>Engagement Instagram serv. financieros</t>
        </is>
      </c>
      <c r="B15" s="22" t="inlineStr">
        <is>
          <t>0,26% - 0,67%</t>
        </is>
      </c>
      <c r="C15" s="22" t="inlineStr">
        <is>
          <t>Global</t>
        </is>
      </c>
      <c r="D15" s="22" t="inlineStr">
        <is>
          <t>Rival IQ</t>
        </is>
      </c>
      <c r="E15" s="22" t="inlineStr">
        <is>
          <t>2026</t>
        </is>
      </c>
    </row>
    <row r="16">
      <c r="A16" s="21" t="inlineStr">
        <is>
          <t>Engagement TikTok serv. financieros</t>
        </is>
      </c>
      <c r="B16" s="22" t="inlineStr">
        <is>
          <t>1,9%</t>
        </is>
      </c>
      <c r="C16" s="22" t="inlineStr">
        <is>
          <t>Global</t>
        </is>
      </c>
      <c r="D16" s="22" t="inlineStr">
        <is>
          <t>Rival IQ</t>
        </is>
      </c>
      <c r="E16" s="22" t="inlineStr">
        <is>
          <t>2026</t>
        </is>
      </c>
    </row>
    <row r="17">
      <c r="A17" s="21" t="inlineStr">
        <is>
          <t>Cartera consumo sobre total cooperativas</t>
        </is>
      </c>
      <c r="B17" s="22" t="inlineStr">
        <is>
          <t>68,74%</t>
        </is>
      </c>
      <c r="C17" s="22" t="inlineStr">
        <is>
          <t>Chile</t>
        </is>
      </c>
      <c r="D17" s="22" t="inlineStr">
        <is>
          <t>CMF</t>
        </is>
      </c>
      <c r="E17" s="22" t="inlineStr">
        <is>
          <t>ene-2026</t>
        </is>
      </c>
    </row>
    <row r="18">
      <c r="A18" s="21" t="inlineStr">
        <is>
          <t>Crecimiento real cartera consumo cooperativas</t>
        </is>
      </c>
      <c r="B18" s="22" t="inlineStr">
        <is>
          <t>4,77% a 12 meses</t>
        </is>
      </c>
      <c r="C18" s="22" t="inlineStr">
        <is>
          <t>Chile</t>
        </is>
      </c>
      <c r="D18" s="22" t="inlineStr">
        <is>
          <t>CMF</t>
        </is>
      </c>
      <c r="E18" s="22" t="inlineStr">
        <is>
          <t>ene-2026</t>
        </is>
      </c>
    </row>
    <row r="19">
      <c r="A19" s="21" t="inlineStr">
        <is>
          <t>Share of Investment digital</t>
        </is>
      </c>
      <c r="B19" s="22" t="inlineStr">
        <is>
          <t>50,1%</t>
        </is>
      </c>
      <c r="C19" s="22" t="inlineStr">
        <is>
          <t>Chile</t>
        </is>
      </c>
      <c r="D19" s="22" t="inlineStr">
        <is>
          <t>AAM / Admetricks / IAB Chile</t>
        </is>
      </c>
      <c r="E19" s="22" t="inlineStr">
        <is>
          <t>may-2026</t>
        </is>
      </c>
    </row>
    <row r="20">
      <c r="A20" s="21" t="inlineStr">
        <is>
          <t>Participación social sobre inversión digital</t>
        </is>
      </c>
      <c r="B20" s="22" t="inlineStr">
        <is>
          <t>37,0%</t>
        </is>
      </c>
      <c r="C20" s="22" t="inlineStr">
        <is>
          <t>Chile</t>
        </is>
      </c>
      <c r="D20" s="22" t="inlineStr">
        <is>
          <t>AAM / Admetricks / IAB Chile</t>
        </is>
      </c>
      <c r="E20" s="22" t="inlineStr">
        <is>
          <t>may-2026</t>
        </is>
      </c>
    </row>
    <row r="21">
      <c r="A21" s="21" t="inlineStr">
        <is>
          <t>Participación search sobre inversión digital</t>
        </is>
      </c>
      <c r="B21" s="22" t="inlineStr">
        <is>
          <t>31,3%</t>
        </is>
      </c>
      <c r="C21" s="22" t="inlineStr">
        <is>
          <t>Chile</t>
        </is>
      </c>
      <c r="D21" s="22" t="inlineStr">
        <is>
          <t>AAM / Admetricks / IAB Chile</t>
        </is>
      </c>
      <c r="E21" s="22" t="inlineStr">
        <is>
          <t>may-2026</t>
        </is>
      </c>
    </row>
    <row r="22">
      <c r="A22" s="21" t="inlineStr">
        <is>
          <t>Valor UF de referencia</t>
        </is>
      </c>
      <c r="B22" s="22" t="inlineStr">
        <is>
          <t>$40.867,18 CLP</t>
        </is>
      </c>
      <c r="C22" s="22" t="inlineStr">
        <is>
          <t>Chile</t>
        </is>
      </c>
      <c r="D22" s="22" t="inlineStr">
        <is>
          <t>Banco Central</t>
        </is>
      </c>
      <c r="E22" s="22" t="inlineStr">
        <is>
          <t>26-ago-2026</t>
        </is>
      </c>
    </row>
    <row r="23">
      <c r="A23" s="21" t="inlineStr">
        <is>
          <t>Valor dólar observado de referencia</t>
        </is>
      </c>
      <c r="B23" s="22" t="inlineStr">
        <is>
          <t>$911,43 CLP</t>
        </is>
      </c>
      <c r="C23" s="22" t="inlineStr">
        <is>
          <t>Chile</t>
        </is>
      </c>
      <c r="D23" s="22" t="inlineStr">
        <is>
          <t>Banco Central</t>
        </is>
      </c>
      <c r="E23" s="22" t="inlineStr">
        <is>
          <t>26-ago-2026</t>
        </is>
      </c>
    </row>
    <row r="25">
      <c r="A25" s="19" t="inlineStr">
        <is>
          <t>Los benchmarks internacionales se usan como referencia de la relación entre métricas, no como valor absoluto trasladable a Chile. Los valores en pesos surgen de triangular la fuente local contra la internacional convertida al tipo de cambio de referencia.</t>
        </is>
      </c>
    </row>
    <row r="26"/>
  </sheetData>
  <mergeCells count="1">
    <mergeCell ref="A25:E26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2026-08-26T21:50:18Z</dcterms:created>
  <dcterms:modified xmlns:dcterms="http://purl.org/dc/terms/" xmlns:xsi="http://www.w3.org/2001/XMLSchema-instance" xsi:type="dcterms:W3CDTF">2026-08-26T21:50:18Z</dcterms:modified>
</cp:coreProperties>
</file>